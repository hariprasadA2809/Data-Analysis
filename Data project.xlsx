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riv\OneDrive\Desktop\"/>
    </mc:Choice>
  </mc:AlternateContent>
  <xr:revisionPtr revIDLastSave="0" documentId="13_ncr:1_{1F2CE1CA-62FB-42E9-98CE-2368F7C335D2}" xr6:coauthVersionLast="47" xr6:coauthVersionMax="47" xr10:uidLastSave="{00000000-0000-0000-0000-000000000000}"/>
  <bookViews>
    <workbookView xWindow="-108" yWindow="-108" windowWidth="23256" windowHeight="12576" activeTab="3" xr2:uid="{566245EA-114D-4282-A8C2-87B6E2EC3694}"/>
  </bookViews>
  <sheets>
    <sheet name="Dataset" sheetId="1" r:id="rId1"/>
    <sheet name="Charts" sheetId="2" r:id="rId2"/>
    <sheet name="Pivot table" sheetId="10" r:id="rId3"/>
    <sheet name="Dashboard" sheetId="16" r:id="rId4"/>
  </sheets>
  <definedNames>
    <definedName name="_xlchart.v2.0" hidden="1">Charts!$A$4:$A$7</definedName>
    <definedName name="_xlchart.v2.1" hidden="1">Charts!$B$1:$B$3</definedName>
    <definedName name="_xlchart.v2.2" hidden="1">Charts!$B$4:$B$7</definedName>
    <definedName name="_xlchart.v2.3" hidden="1">Charts!$A$4:$A$7</definedName>
    <definedName name="_xlchart.v2.4" hidden="1">Charts!$B$1:$B$3</definedName>
    <definedName name="_xlchart.v2.5" hidden="1">Charts!$B$4:$B$7</definedName>
    <definedName name="Slicer_Gender">#N/A</definedName>
  </definedNames>
  <calcPr calcId="191029"/>
  <pivotCaches>
    <pivotCache cacheId="56" r:id="rId5"/>
    <pivotCache cacheId="8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 l="1"/>
  <c r="P2" i="1"/>
  <c r="L5" i="1"/>
  <c r="L4" i="1"/>
  <c r="O2" i="1"/>
  <c r="N2" i="1"/>
  <c r="K7" i="1"/>
  <c r="J7" i="1"/>
  <c r="K5" i="1"/>
  <c r="K4" i="1"/>
  <c r="J5" i="1"/>
  <c r="J4"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 i="1"/>
  <c r="G4" i="1"/>
  <c r="G5" i="1"/>
  <c r="G6" i="1"/>
  <c r="G2" i="1"/>
</calcChain>
</file>

<file path=xl/sharedStrings.xml><?xml version="1.0" encoding="utf-8"?>
<sst xmlns="http://schemas.openxmlformats.org/spreadsheetml/2006/main" count="77" uniqueCount="25">
  <si>
    <t>ID</t>
  </si>
  <si>
    <t>Experience_Years</t>
  </si>
  <si>
    <t>Age</t>
  </si>
  <si>
    <t>Gender</t>
  </si>
  <si>
    <t>Salary</t>
  </si>
  <si>
    <t>Female</t>
  </si>
  <si>
    <t>Male</t>
  </si>
  <si>
    <t>IF Statement</t>
  </si>
  <si>
    <t>COUNTIF</t>
  </si>
  <si>
    <t>SUMIF</t>
  </si>
  <si>
    <t>AVERAGE SALARY</t>
  </si>
  <si>
    <t>Total</t>
  </si>
  <si>
    <t>MAX SALARY</t>
  </si>
  <si>
    <t>MIN SALARY</t>
  </si>
  <si>
    <t>VLOOKUP</t>
  </si>
  <si>
    <t>Sum</t>
  </si>
  <si>
    <t>Average</t>
  </si>
  <si>
    <t>Running Total</t>
  </si>
  <si>
    <t>Count</t>
  </si>
  <si>
    <t>Sum of SUMIF</t>
  </si>
  <si>
    <t>Sum of AVERAGE SALARY</t>
  </si>
  <si>
    <t>Row Labels</t>
  </si>
  <si>
    <t>Grand Total</t>
  </si>
  <si>
    <t>Column Labels</t>
  </si>
  <si>
    <t>Combined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</si>
</sst>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ont="1" applyFill="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Charts!$B$11</c:f>
              <c:strCache>
                <c:ptCount val="1"/>
                <c:pt idx="0">
                  <c:v>SUMIF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Charts!$A$12:$A$17</c:f>
              <c:strCache>
                <c:ptCount val="6"/>
                <c:pt idx="2">
                  <c:v>Male</c:v>
                </c:pt>
                <c:pt idx="3">
                  <c:v>Female</c:v>
                </c:pt>
                <c:pt idx="5">
                  <c:v>Total</c:v>
                </c:pt>
              </c:strCache>
            </c:strRef>
          </c:cat>
          <c:val>
            <c:numRef>
              <c:f>Charts!$B$12:$B$17</c:f>
              <c:numCache>
                <c:formatCode>General</c:formatCode>
                <c:ptCount val="6"/>
                <c:pt idx="2">
                  <c:v>35081650</c:v>
                </c:pt>
                <c:pt idx="3">
                  <c:v>36988500</c:v>
                </c:pt>
                <c:pt idx="5">
                  <c:v>72070150</c:v>
                </c:pt>
              </c:numCache>
            </c:numRef>
          </c:val>
          <c:extLst>
            <c:ext xmlns:c16="http://schemas.microsoft.com/office/drawing/2014/chart" uri="{C3380CC4-5D6E-409C-BE32-E72D297353CC}">
              <c16:uniqueId val="{00000000-ACED-45E6-B205-135ED558B496}"/>
            </c:ext>
          </c:extLst>
        </c:ser>
        <c:dLbls>
          <c:showLegendKey val="0"/>
          <c:showVal val="0"/>
          <c:showCatName val="0"/>
          <c:showSerName val="0"/>
          <c:showPercent val="0"/>
          <c:showBubbleSize val="0"/>
        </c:dLbls>
        <c:gapWidth val="100"/>
        <c:overlap val="-24"/>
        <c:axId val="1000107152"/>
        <c:axId val="1000110512"/>
      </c:barChart>
      <c:catAx>
        <c:axId val="1000107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110512"/>
        <c:crosses val="autoZero"/>
        <c:auto val="1"/>
        <c:lblAlgn val="ctr"/>
        <c:lblOffset val="100"/>
        <c:noMultiLvlLbl val="0"/>
      </c:catAx>
      <c:valAx>
        <c:axId val="1000110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010715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project.xlsx]Pivot table!PivotTable17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SUMIF</c:v>
                </c:pt>
              </c:strCache>
            </c:strRef>
          </c:tx>
          <c:spPr>
            <a:solidFill>
              <a:schemeClr val="accent1"/>
            </a:solidFill>
            <a:ln>
              <a:noFill/>
            </a:ln>
            <a:effectLst/>
          </c:spPr>
          <c:invertIfNegative val="0"/>
          <c:cat>
            <c:strRef>
              <c:f>'Pivot table'!$A$4:$A$7</c:f>
              <c:strCache>
                <c:ptCount val="3"/>
                <c:pt idx="0">
                  <c:v>17</c:v>
                </c:pt>
                <c:pt idx="1">
                  <c:v>18</c:v>
                </c:pt>
                <c:pt idx="2">
                  <c:v>35</c:v>
                </c:pt>
              </c:strCache>
            </c:strRef>
          </c:cat>
          <c:val>
            <c:numRef>
              <c:f>'Pivot table'!$B$4:$B$7</c:f>
              <c:numCache>
                <c:formatCode>General</c:formatCode>
                <c:ptCount val="3"/>
                <c:pt idx="0">
                  <c:v>35081650</c:v>
                </c:pt>
                <c:pt idx="1">
                  <c:v>36988500</c:v>
                </c:pt>
                <c:pt idx="2">
                  <c:v>72070150</c:v>
                </c:pt>
              </c:numCache>
            </c:numRef>
          </c:val>
          <c:extLst>
            <c:ext xmlns:c16="http://schemas.microsoft.com/office/drawing/2014/chart" uri="{C3380CC4-5D6E-409C-BE32-E72D297353CC}">
              <c16:uniqueId val="{00000000-72BD-4AF0-A13A-6C577A62075B}"/>
            </c:ext>
          </c:extLst>
        </c:ser>
        <c:ser>
          <c:idx val="1"/>
          <c:order val="1"/>
          <c:tx>
            <c:strRef>
              <c:f>'Pivot table'!$C$3</c:f>
              <c:strCache>
                <c:ptCount val="1"/>
                <c:pt idx="0">
                  <c:v>Sum of AVERAGE SALARY</c:v>
                </c:pt>
              </c:strCache>
            </c:strRef>
          </c:tx>
          <c:spPr>
            <a:solidFill>
              <a:schemeClr val="accent2"/>
            </a:solidFill>
            <a:ln>
              <a:noFill/>
            </a:ln>
            <a:effectLst/>
          </c:spPr>
          <c:invertIfNegative val="0"/>
          <c:cat>
            <c:strRef>
              <c:f>'Pivot table'!$A$4:$A$7</c:f>
              <c:strCache>
                <c:ptCount val="3"/>
                <c:pt idx="0">
                  <c:v>17</c:v>
                </c:pt>
                <c:pt idx="1">
                  <c:v>18</c:v>
                </c:pt>
                <c:pt idx="2">
                  <c:v>35</c:v>
                </c:pt>
              </c:strCache>
            </c:strRef>
          </c:cat>
          <c:val>
            <c:numRef>
              <c:f>'Pivot table'!$C$4:$C$7</c:f>
              <c:numCache>
                <c:formatCode>General</c:formatCode>
                <c:ptCount val="3"/>
                <c:pt idx="0">
                  <c:v>2063626.4705882352</c:v>
                </c:pt>
                <c:pt idx="1">
                  <c:v>2054916.6666666667</c:v>
                </c:pt>
                <c:pt idx="2">
                  <c:v>2059147.142857143</c:v>
                </c:pt>
              </c:numCache>
            </c:numRef>
          </c:val>
          <c:extLst>
            <c:ext xmlns:c16="http://schemas.microsoft.com/office/drawing/2014/chart" uri="{C3380CC4-5D6E-409C-BE32-E72D297353CC}">
              <c16:uniqueId val="{00000006-72BD-4AF0-A13A-6C577A62075B}"/>
            </c:ext>
          </c:extLst>
        </c:ser>
        <c:dLbls>
          <c:showLegendKey val="0"/>
          <c:showVal val="0"/>
          <c:showCatName val="0"/>
          <c:showSerName val="0"/>
          <c:showPercent val="0"/>
          <c:showBubbleSize val="0"/>
        </c:dLbls>
        <c:gapWidth val="219"/>
        <c:overlap val="-27"/>
        <c:axId val="543934016"/>
        <c:axId val="543934496"/>
      </c:barChart>
      <c:catAx>
        <c:axId val="5439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34496"/>
        <c:crosses val="autoZero"/>
        <c:auto val="1"/>
        <c:lblAlgn val="ctr"/>
        <c:lblOffset val="100"/>
        <c:noMultiLvlLbl val="0"/>
      </c:catAx>
      <c:valAx>
        <c:axId val="54393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93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project.xlsx]Dashboard!PivotTable25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Dashboard!$B$3:$B$4</c:f>
              <c:strCache>
                <c:ptCount val="1"/>
                <c:pt idx="0">
                  <c:v>2059147.14285714</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Dashboard!$A$5:$A$6</c:f>
              <c:strCache>
                <c:ptCount val="1"/>
                <c:pt idx="0">
                  <c:v>35</c:v>
                </c:pt>
              </c:strCache>
            </c:strRef>
          </c:cat>
          <c:val>
            <c:numRef>
              <c:f>Dashboard!$B$5:$B$6</c:f>
              <c:numCache>
                <c:formatCode>General</c:formatCode>
                <c:ptCount val="1"/>
                <c:pt idx="0">
                  <c:v>72070150</c:v>
                </c:pt>
              </c:numCache>
            </c:numRef>
          </c:val>
          <c:extLst>
            <c:ext xmlns:c16="http://schemas.microsoft.com/office/drawing/2014/chart" uri="{C3380CC4-5D6E-409C-BE32-E72D297353CC}">
              <c16:uniqueId val="{00000000-092E-49A5-865D-B7C8B1498FF2}"/>
            </c:ext>
          </c:extLst>
        </c:ser>
        <c:dLbls>
          <c:dLblPos val="inEnd"/>
          <c:showLegendKey val="0"/>
          <c:showVal val="1"/>
          <c:showCatName val="0"/>
          <c:showSerName val="0"/>
          <c:showPercent val="0"/>
          <c:showBubbleSize val="0"/>
        </c:dLbls>
        <c:gapWidth val="65"/>
        <c:axId val="826782352"/>
        <c:axId val="826783312"/>
      </c:barChart>
      <c:catAx>
        <c:axId val="8267823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6783312"/>
        <c:crosses val="autoZero"/>
        <c:auto val="1"/>
        <c:lblAlgn val="ctr"/>
        <c:lblOffset val="100"/>
        <c:noMultiLvlLbl val="0"/>
      </c:catAx>
      <c:valAx>
        <c:axId val="826783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267823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44572F59-F36E-4C50-AC10-7D8BDC1FB52A}">
          <cx:tx>
            <cx:txData>
              <cx:f>_xlchart.v2.4</cx:f>
              <cx:v>COUNTIF</cx:v>
            </cx:txData>
          </cx:tx>
          <cx:dataLabels>
            <cx:visibility seriesName="0" categoryName="0" value="1"/>
          </cx:dataLabels>
          <cx:dataId val="0"/>
        </cx:series>
      </cx:plotAreaRegion>
      <cx:axis id="1">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12</xdr:col>
      <xdr:colOff>365760</xdr:colOff>
      <xdr:row>9</xdr:row>
      <xdr:rowOff>57150</xdr:rowOff>
    </xdr:from>
    <xdr:to>
      <xdr:col>20</xdr:col>
      <xdr:colOff>60960</xdr:colOff>
      <xdr:row>24</xdr:row>
      <xdr:rowOff>57150</xdr:rowOff>
    </xdr:to>
    <xdr:graphicFrame macro="">
      <xdr:nvGraphicFramePr>
        <xdr:cNvPr id="7" name="Chart 6">
          <a:extLst>
            <a:ext uri="{FF2B5EF4-FFF2-40B4-BE49-F238E27FC236}">
              <a16:creationId xmlns:a16="http://schemas.microsoft.com/office/drawing/2014/main" id="{FC8103ED-907C-082E-E717-6290EF9B4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990600</xdr:colOff>
      <xdr:row>9</xdr:row>
      <xdr:rowOff>80010</xdr:rowOff>
    </xdr:from>
    <xdr:to>
      <xdr:col>11</xdr:col>
      <xdr:colOff>129540</xdr:colOff>
      <xdr:row>24</xdr:row>
      <xdr:rowOff>80010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A06AA7E-EF84-28C6-AAC6-9A10EFD9E9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819400" y="17259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1196340</xdr:colOff>
      <xdr:row>8</xdr:row>
      <xdr:rowOff>15240</xdr:rowOff>
    </xdr:from>
    <xdr:to>
      <xdr:col>12</xdr:col>
      <xdr:colOff>510540</xdr:colOff>
      <xdr:row>26</xdr:row>
      <xdr:rowOff>15240</xdr:rowOff>
    </xdr:to>
    <xdr:graphicFrame macro="">
      <xdr:nvGraphicFramePr>
        <xdr:cNvPr id="2" name="Chart 1">
          <a:extLst>
            <a:ext uri="{FF2B5EF4-FFF2-40B4-BE49-F238E27FC236}">
              <a16:creationId xmlns:a16="http://schemas.microsoft.com/office/drawing/2014/main" id="{2ECB7D6D-89CD-54AE-DBE6-32901F8C1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434340</xdr:colOff>
      <xdr:row>10</xdr:row>
      <xdr:rowOff>152400</xdr:rowOff>
    </xdr:from>
    <xdr:to>
      <xdr:col>10</xdr:col>
      <xdr:colOff>502920</xdr:colOff>
      <xdr:row>25</xdr:row>
      <xdr:rowOff>152400</xdr:rowOff>
    </xdr:to>
    <xdr:graphicFrame macro="">
      <xdr:nvGraphicFramePr>
        <xdr:cNvPr id="2" name="Chart 1">
          <a:extLst>
            <a:ext uri="{FF2B5EF4-FFF2-40B4-BE49-F238E27FC236}">
              <a16:creationId xmlns:a16="http://schemas.microsoft.com/office/drawing/2014/main" id="{C45D74C2-59F4-5ACB-2EF5-4457FEF79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541020</xdr:colOff>
      <xdr:row>2</xdr:row>
      <xdr:rowOff>7621</xdr:rowOff>
    </xdr:from>
    <xdr:to>
      <xdr:col>8</xdr:col>
      <xdr:colOff>411480</xdr:colOff>
      <xdr:row>8</xdr:row>
      <xdr:rowOff>129541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15753AF5-7B69-5971-13FD-CA492A0F86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808220" y="373381"/>
              <a:ext cx="169926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iamirtha" refreshedDate="45998.234505787033" createdVersion="8" refreshedVersion="8" minRefreshableVersion="3" recordCount="3" xr:uid="{BF62DCED-2EF1-4A13-B7CD-BA9A9A7DAA81}">
  <cacheSource type="worksheet">
    <worksheetSource ref="B1:D4" sheet="Sheet3"/>
  </cacheSource>
  <cacheFields count="3">
    <cacheField name="COUNTIF" numFmtId="0">
      <sharedItems containsSemiMixedTypes="0" containsString="0" containsNumber="1" containsInteger="1" minValue="17" maxValue="35" count="3">
        <n v="17"/>
        <n v="18"/>
        <n v="35"/>
      </sharedItems>
    </cacheField>
    <cacheField name="SUMIF" numFmtId="0">
      <sharedItems containsSemiMixedTypes="0" containsString="0" containsNumber="1" containsInteger="1" minValue="35081650" maxValue="72070150" count="3">
        <n v="35081650"/>
        <n v="36988500"/>
        <n v="72070150"/>
      </sharedItems>
    </cacheField>
    <cacheField name="AVERAGE SALARY" numFmtId="0">
      <sharedItems containsSemiMixedTypes="0" containsString="0" containsNumber="1" minValue="2054916.6666666667" maxValue="2063626.4705882352" count="3">
        <n v="2063626.4705882352"/>
        <n v="2054916.6666666667"/>
        <n v="2059147.142857143"/>
      </sharedItems>
    </cacheField>
  </cacheFields>
  <extLst>
    <ext xmlns:x14="http://schemas.microsoft.com/office/spreadsheetml/2009/9/main" uri="{725AE2AE-9491-48be-B2B4-4EB974FC3084}">
      <x14:pivotCacheDefinition pivotCacheId="203546252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iamirtha" refreshedDate="45998.250442476849" createdVersion="8" refreshedVersion="8" minRefreshableVersion="3" recordCount="3" xr:uid="{55654837-92C2-4F5F-937D-FC69D23716DD}">
  <cacheSource type="worksheet">
    <worksheetSource ref="B1:E4" sheet="Sheet12"/>
  </cacheSource>
  <cacheFields count="4">
    <cacheField name="COUNTIF" numFmtId="0">
      <sharedItems containsSemiMixedTypes="0" containsString="0" containsNumber="1" containsInteger="1" minValue="17" maxValue="35" count="3">
        <n v="17"/>
        <n v="18"/>
        <n v="35"/>
      </sharedItems>
    </cacheField>
    <cacheField name="SUMIF" numFmtId="0">
      <sharedItems containsSemiMixedTypes="0" containsString="0" containsNumber="1" containsInteger="1" minValue="35081650" maxValue="72070150" count="3">
        <n v="35081650"/>
        <n v="36988500"/>
        <n v="72070150"/>
      </sharedItems>
    </cacheField>
    <cacheField name="AVERAGE SALARY" numFmtId="0">
      <sharedItems containsSemiMixedTypes="0" containsString="0" containsNumber="1" minValue="2054916.6666666667" maxValue="2063626.4705882352" count="3">
        <n v="2063626.4705882352"/>
        <n v="2054916.6666666667"/>
        <n v="2059147.142857143"/>
      </sharedItems>
    </cacheField>
    <cacheField name="Gender" numFmtId="0">
      <sharedItems count="3">
        <s v="Male "/>
        <s v="Female "/>
        <s v="Combined"/>
      </sharedItems>
    </cacheField>
  </cacheFields>
  <extLst>
    <ext xmlns:x14="http://schemas.microsoft.com/office/spreadsheetml/2009/9/main" uri="{725AE2AE-9491-48be-B2B4-4EB974FC3084}">
      <x14:pivotCacheDefinition pivotCacheId="911259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r>
  <r>
    <x v="1"/>
    <x v="1"/>
    <x v="1"/>
  </r>
  <r>
    <x v="2"/>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x v="0"/>
  </r>
  <r>
    <x v="1"/>
    <x v="1"/>
    <x v="1"/>
    <x v="1"/>
  </r>
  <r>
    <x v="2"/>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E11B71-33C7-4E3A-80B8-2B1987DC6584}" name="PivotTable17"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pivotFields count="3">
    <pivotField axis="axisRow" showAll="0">
      <items count="4">
        <item x="0"/>
        <item x="1"/>
        <item x="2"/>
        <item t="default"/>
      </items>
    </pivotField>
    <pivotField dataField="1" showAll="0">
      <items count="4">
        <item x="0"/>
        <item x="1"/>
        <item x="2"/>
        <item t="default"/>
      </items>
    </pivotField>
    <pivotField dataField="1" showAll="0">
      <items count="4">
        <item x="1"/>
        <item x="2"/>
        <item x="0"/>
        <item t="default"/>
      </items>
    </pivotField>
  </pivotFields>
  <rowFields count="1">
    <field x="0"/>
  </rowFields>
  <rowItems count="4">
    <i>
      <x/>
    </i>
    <i>
      <x v="1"/>
    </i>
    <i>
      <x v="2"/>
    </i>
    <i t="grand">
      <x/>
    </i>
  </rowItems>
  <colFields count="1">
    <field x="-2"/>
  </colFields>
  <colItems count="2">
    <i>
      <x/>
    </i>
    <i i="1">
      <x v="1"/>
    </i>
  </colItems>
  <dataFields count="2">
    <dataField name="Sum of SUMIF" fld="1" baseField="0" baseItem="0"/>
    <dataField name="Sum of AVERAGE SALARY" fld="2" baseField="0" baseItem="0"/>
  </dataField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9BB05D-5B96-4C2E-ADA8-C5A7D4B46EB6}" name="PivotTable25" cacheId="8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1" firstDataRow="2" firstDataCol="1" rowPageCount="1" colPageCount="1"/>
  <pivotFields count="4">
    <pivotField axis="axisRow" showAll="0">
      <items count="4">
        <item x="0"/>
        <item x="1"/>
        <item x="2"/>
        <item t="default"/>
      </items>
    </pivotField>
    <pivotField dataField="1" showAll="0">
      <items count="4">
        <item x="0"/>
        <item x="1"/>
        <item x="2"/>
        <item t="default"/>
      </items>
    </pivotField>
    <pivotField axis="axisCol" showAll="0">
      <items count="4">
        <item x="1"/>
        <item x="2"/>
        <item x="0"/>
        <item t="default"/>
      </items>
    </pivotField>
    <pivotField axis="axisPage" showAll="0">
      <items count="4">
        <item x="2"/>
        <item x="1"/>
        <item x="0"/>
        <item t="default"/>
      </items>
    </pivotField>
  </pivotFields>
  <rowFields count="1">
    <field x="0"/>
  </rowFields>
  <rowItems count="2">
    <i>
      <x v="2"/>
    </i>
    <i t="grand">
      <x/>
    </i>
  </rowItems>
  <colFields count="1">
    <field x="2"/>
  </colFields>
  <colItems count="2">
    <i>
      <x v="1"/>
    </i>
    <i t="grand">
      <x/>
    </i>
  </colItems>
  <pageFields count="1">
    <pageField fld="3" item="0" hier="-1"/>
  </pageFields>
  <dataFields count="1">
    <dataField name="Sum of SUMIF" fld="1" baseField="0" baseItem="0"/>
  </dataFields>
  <chartFormats count="3">
    <chartFormat chart="0" format="7" series="1">
      <pivotArea type="data" outline="0" fieldPosition="0">
        <references count="2">
          <reference field="4294967294" count="1" selected="0">
            <x v="0"/>
          </reference>
          <reference field="2" count="1" selected="0">
            <x v="0"/>
          </reference>
        </references>
      </pivotArea>
    </chartFormat>
    <chartFormat chart="0" format="8" series="1">
      <pivotArea type="data" outline="0" fieldPosition="0">
        <references count="2">
          <reference field="4294967294" count="1" selected="0">
            <x v="0"/>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2"/>
          </reference>
        </references>
      </pivotArea>
    </chartFormat>
  </chartFormats>
  <pivotTableStyleInfo name="PivotStyleLight1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E80A804-EF45-4F56-8319-ABF0BED47BDF}" sourceName="Gender">
  <pivotTables>
    <pivotTable tabId="16" name="PivotTable25"/>
  </pivotTables>
  <data>
    <tabular pivotCacheId="911259337">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45CE1A-B168-4BE1-9D7E-A0BC2D9625A2}"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C63C-C7D7-46DC-BB71-7A3A3917885C}">
  <dimension ref="A1:P36"/>
  <sheetViews>
    <sheetView topLeftCell="A16" workbookViewId="0">
      <selection activeCell="D45" sqref="D45"/>
    </sheetView>
  </sheetViews>
  <sheetFormatPr defaultRowHeight="14.4" x14ac:dyDescent="0.3"/>
  <cols>
    <col min="7" max="7" width="11.33203125" bestFit="1" customWidth="1"/>
    <col min="12" max="12" width="16" bestFit="1" customWidth="1"/>
    <col min="13" max="13" width="11.77734375" customWidth="1"/>
    <col min="14" max="14" width="12" bestFit="1" customWidth="1"/>
    <col min="15" max="15" width="11.5546875" bestFit="1" customWidth="1"/>
    <col min="16" max="16" width="9.33203125" bestFit="1" customWidth="1"/>
  </cols>
  <sheetData>
    <row r="1" spans="1:16" s="1" customFormat="1" x14ac:dyDescent="0.3">
      <c r="A1" s="1" t="s">
        <v>0</v>
      </c>
      <c r="B1" s="1" t="s">
        <v>1</v>
      </c>
      <c r="C1" s="1" t="s">
        <v>2</v>
      </c>
      <c r="D1" s="1" t="s">
        <v>3</v>
      </c>
      <c r="E1" s="1" t="s">
        <v>4</v>
      </c>
      <c r="G1" s="1" t="s">
        <v>7</v>
      </c>
      <c r="J1" s="1" t="s">
        <v>8</v>
      </c>
      <c r="K1" s="1" t="s">
        <v>9</v>
      </c>
      <c r="L1" s="1" t="s">
        <v>10</v>
      </c>
      <c r="N1" s="1" t="s">
        <v>12</v>
      </c>
      <c r="O1" s="1" t="s">
        <v>13</v>
      </c>
      <c r="P1" s="1" t="s">
        <v>14</v>
      </c>
    </row>
    <row r="2" spans="1:16" x14ac:dyDescent="0.3">
      <c r="A2">
        <v>1</v>
      </c>
      <c r="B2">
        <v>5</v>
      </c>
      <c r="C2">
        <v>28</v>
      </c>
      <c r="D2" t="s">
        <v>5</v>
      </c>
      <c r="E2">
        <v>250000</v>
      </c>
      <c r="G2" t="str">
        <f>IF(E2&gt;=50000,"Low Income","High Income")</f>
        <v>Low Income</v>
      </c>
      <c r="L2">
        <f>AVERAGE(E2:E36)</f>
        <v>2059147.142857143</v>
      </c>
      <c r="N2">
        <f>MAX(E2:E36)</f>
        <v>10000000</v>
      </c>
      <c r="O2">
        <f>MIN(E2:E36)</f>
        <v>3000</v>
      </c>
      <c r="P2">
        <f>VLOOKUP(5,A2:E35,5,FALSE)</f>
        <v>10000</v>
      </c>
    </row>
    <row r="3" spans="1:16" x14ac:dyDescent="0.3">
      <c r="A3">
        <v>2</v>
      </c>
      <c r="B3">
        <v>1</v>
      </c>
      <c r="C3">
        <v>21</v>
      </c>
      <c r="D3" t="s">
        <v>6</v>
      </c>
      <c r="E3">
        <v>50000</v>
      </c>
      <c r="G3" t="str">
        <f t="shared" ref="G3:G36" si="0">IF(E3&gt;=50000,"Low Income","High Income")</f>
        <v>Low Income</v>
      </c>
    </row>
    <row r="4" spans="1:16" x14ac:dyDescent="0.3">
      <c r="A4">
        <v>3</v>
      </c>
      <c r="B4">
        <v>3</v>
      </c>
      <c r="C4">
        <v>23</v>
      </c>
      <c r="D4" t="s">
        <v>5</v>
      </c>
      <c r="E4">
        <v>170000</v>
      </c>
      <c r="G4" t="str">
        <f t="shared" si="0"/>
        <v>Low Income</v>
      </c>
      <c r="I4" t="s">
        <v>6</v>
      </c>
      <c r="J4">
        <f>COUNTIF(D2:D36,"Male")</f>
        <v>17</v>
      </c>
      <c r="K4">
        <f>SUMIF(D2:D36,"Male",E2:E36)</f>
        <v>35081650</v>
      </c>
      <c r="L4">
        <f>AVERAGE(K4/J4)</f>
        <v>2063626.4705882352</v>
      </c>
    </row>
    <row r="5" spans="1:16" x14ac:dyDescent="0.3">
      <c r="A5">
        <v>4</v>
      </c>
      <c r="B5">
        <v>2</v>
      </c>
      <c r="C5">
        <v>22</v>
      </c>
      <c r="D5" t="s">
        <v>6</v>
      </c>
      <c r="E5">
        <v>25000</v>
      </c>
      <c r="G5" t="str">
        <f t="shared" si="0"/>
        <v>High Income</v>
      </c>
      <c r="I5" t="s">
        <v>5</v>
      </c>
      <c r="J5">
        <f>COUNTIF(D2:D36,"Female")</f>
        <v>18</v>
      </c>
      <c r="K5">
        <f>SUMIF(D2:D36,"Female",E2:E36)</f>
        <v>36988500</v>
      </c>
      <c r="L5">
        <f>AVERAGE(K5/J5)</f>
        <v>2054916.6666666667</v>
      </c>
    </row>
    <row r="6" spans="1:16" x14ac:dyDescent="0.3">
      <c r="A6">
        <v>5</v>
      </c>
      <c r="B6">
        <v>1</v>
      </c>
      <c r="C6">
        <v>17</v>
      </c>
      <c r="D6" t="s">
        <v>6</v>
      </c>
      <c r="E6">
        <v>10000</v>
      </c>
      <c r="G6" t="str">
        <f t="shared" si="0"/>
        <v>High Income</v>
      </c>
    </row>
    <row r="7" spans="1:16" x14ac:dyDescent="0.3">
      <c r="A7">
        <v>6</v>
      </c>
      <c r="B7">
        <v>25</v>
      </c>
      <c r="C7">
        <v>62</v>
      </c>
      <c r="D7" t="s">
        <v>6</v>
      </c>
      <c r="E7">
        <v>5001000</v>
      </c>
      <c r="G7" t="str">
        <f t="shared" si="0"/>
        <v>Low Income</v>
      </c>
      <c r="I7" t="s">
        <v>11</v>
      </c>
      <c r="J7">
        <f>SUM(J4:J5)</f>
        <v>35</v>
      </c>
      <c r="K7">
        <f>SUM(K4:K5)</f>
        <v>72070150</v>
      </c>
    </row>
    <row r="8" spans="1:16" x14ac:dyDescent="0.3">
      <c r="A8">
        <v>7</v>
      </c>
      <c r="B8">
        <v>19</v>
      </c>
      <c r="C8">
        <v>54</v>
      </c>
      <c r="D8" t="s">
        <v>5</v>
      </c>
      <c r="E8">
        <v>800000</v>
      </c>
      <c r="G8" t="str">
        <f t="shared" si="0"/>
        <v>Low Income</v>
      </c>
    </row>
    <row r="9" spans="1:16" x14ac:dyDescent="0.3">
      <c r="A9">
        <v>8</v>
      </c>
      <c r="B9">
        <v>2</v>
      </c>
      <c r="C9">
        <v>21</v>
      </c>
      <c r="D9" t="s">
        <v>5</v>
      </c>
      <c r="E9">
        <v>9000</v>
      </c>
      <c r="G9" t="str">
        <f t="shared" si="0"/>
        <v>High Income</v>
      </c>
    </row>
    <row r="10" spans="1:16" x14ac:dyDescent="0.3">
      <c r="A10">
        <v>9</v>
      </c>
      <c r="B10">
        <v>10</v>
      </c>
      <c r="C10">
        <v>36</v>
      </c>
      <c r="D10" t="s">
        <v>5</v>
      </c>
      <c r="E10">
        <v>61500</v>
      </c>
      <c r="G10" t="str">
        <f t="shared" si="0"/>
        <v>Low Income</v>
      </c>
    </row>
    <row r="11" spans="1:16" x14ac:dyDescent="0.3">
      <c r="A11">
        <v>10</v>
      </c>
      <c r="B11">
        <v>15</v>
      </c>
      <c r="C11">
        <v>54</v>
      </c>
      <c r="D11" t="s">
        <v>5</v>
      </c>
      <c r="E11">
        <v>650000</v>
      </c>
      <c r="G11" t="str">
        <f t="shared" si="0"/>
        <v>Low Income</v>
      </c>
    </row>
    <row r="12" spans="1:16" x14ac:dyDescent="0.3">
      <c r="A12">
        <v>11</v>
      </c>
      <c r="B12">
        <v>4</v>
      </c>
      <c r="C12">
        <v>26</v>
      </c>
      <c r="D12" t="s">
        <v>5</v>
      </c>
      <c r="E12">
        <v>250000</v>
      </c>
      <c r="G12" t="str">
        <f t="shared" si="0"/>
        <v>Low Income</v>
      </c>
    </row>
    <row r="13" spans="1:16" x14ac:dyDescent="0.3">
      <c r="A13">
        <v>12</v>
      </c>
      <c r="B13">
        <v>6</v>
      </c>
      <c r="C13">
        <v>29</v>
      </c>
      <c r="D13" t="s">
        <v>6</v>
      </c>
      <c r="E13">
        <v>1400000</v>
      </c>
      <c r="G13" t="str">
        <f t="shared" si="0"/>
        <v>Low Income</v>
      </c>
    </row>
    <row r="14" spans="1:16" x14ac:dyDescent="0.3">
      <c r="A14">
        <v>13</v>
      </c>
      <c r="B14">
        <v>14</v>
      </c>
      <c r="C14">
        <v>39</v>
      </c>
      <c r="D14" t="s">
        <v>6</v>
      </c>
      <c r="E14">
        <v>6000050</v>
      </c>
      <c r="G14" t="str">
        <f t="shared" si="0"/>
        <v>Low Income</v>
      </c>
    </row>
    <row r="15" spans="1:16" x14ac:dyDescent="0.3">
      <c r="A15">
        <v>14</v>
      </c>
      <c r="B15">
        <v>11</v>
      </c>
      <c r="C15">
        <v>40</v>
      </c>
      <c r="D15" t="s">
        <v>6</v>
      </c>
      <c r="E15">
        <v>220100</v>
      </c>
      <c r="G15" t="str">
        <f t="shared" si="0"/>
        <v>Low Income</v>
      </c>
    </row>
    <row r="16" spans="1:16" x14ac:dyDescent="0.3">
      <c r="A16">
        <v>15</v>
      </c>
      <c r="B16">
        <v>2</v>
      </c>
      <c r="C16">
        <v>23</v>
      </c>
      <c r="D16" t="s">
        <v>6</v>
      </c>
      <c r="E16">
        <v>7500</v>
      </c>
      <c r="G16" t="str">
        <f t="shared" si="0"/>
        <v>High Income</v>
      </c>
    </row>
    <row r="17" spans="1:7" x14ac:dyDescent="0.3">
      <c r="A17">
        <v>16</v>
      </c>
      <c r="B17">
        <v>4</v>
      </c>
      <c r="C17">
        <v>27</v>
      </c>
      <c r="D17" t="s">
        <v>5</v>
      </c>
      <c r="E17">
        <v>87000</v>
      </c>
      <c r="G17" t="str">
        <f t="shared" si="0"/>
        <v>Low Income</v>
      </c>
    </row>
    <row r="18" spans="1:7" x14ac:dyDescent="0.3">
      <c r="A18">
        <v>17</v>
      </c>
      <c r="B18">
        <v>10</v>
      </c>
      <c r="C18">
        <v>34</v>
      </c>
      <c r="D18" t="s">
        <v>5</v>
      </c>
      <c r="E18">
        <v>930000</v>
      </c>
      <c r="G18" t="str">
        <f t="shared" si="0"/>
        <v>Low Income</v>
      </c>
    </row>
    <row r="19" spans="1:7" x14ac:dyDescent="0.3">
      <c r="A19">
        <v>18</v>
      </c>
      <c r="B19">
        <v>15</v>
      </c>
      <c r="C19">
        <v>54</v>
      </c>
      <c r="D19" t="s">
        <v>5</v>
      </c>
      <c r="E19">
        <v>7900000</v>
      </c>
      <c r="G19" t="str">
        <f t="shared" si="0"/>
        <v>Low Income</v>
      </c>
    </row>
    <row r="20" spans="1:7" x14ac:dyDescent="0.3">
      <c r="A20">
        <v>19</v>
      </c>
      <c r="B20">
        <v>2</v>
      </c>
      <c r="C20">
        <v>21</v>
      </c>
      <c r="D20" t="s">
        <v>6</v>
      </c>
      <c r="E20">
        <v>15000</v>
      </c>
      <c r="G20" t="str">
        <f t="shared" si="0"/>
        <v>High Income</v>
      </c>
    </row>
    <row r="21" spans="1:7" x14ac:dyDescent="0.3">
      <c r="A21">
        <v>20</v>
      </c>
      <c r="B21">
        <v>10</v>
      </c>
      <c r="C21">
        <v>36</v>
      </c>
      <c r="D21" t="s">
        <v>6</v>
      </c>
      <c r="E21">
        <v>330000</v>
      </c>
      <c r="G21" t="str">
        <f t="shared" si="0"/>
        <v>Low Income</v>
      </c>
    </row>
    <row r="22" spans="1:7" x14ac:dyDescent="0.3">
      <c r="A22">
        <v>21</v>
      </c>
      <c r="B22">
        <v>15</v>
      </c>
      <c r="C22">
        <v>54</v>
      </c>
      <c r="D22" t="s">
        <v>6</v>
      </c>
      <c r="E22">
        <v>6570000</v>
      </c>
      <c r="G22" t="str">
        <f t="shared" si="0"/>
        <v>Low Income</v>
      </c>
    </row>
    <row r="23" spans="1:7" x14ac:dyDescent="0.3">
      <c r="A23">
        <v>22</v>
      </c>
      <c r="B23">
        <v>4</v>
      </c>
      <c r="C23">
        <v>26</v>
      </c>
      <c r="D23" t="s">
        <v>6</v>
      </c>
      <c r="E23">
        <v>25000</v>
      </c>
      <c r="G23" t="str">
        <f t="shared" si="0"/>
        <v>High Income</v>
      </c>
    </row>
    <row r="24" spans="1:7" x14ac:dyDescent="0.3">
      <c r="A24">
        <v>23</v>
      </c>
      <c r="B24">
        <v>5</v>
      </c>
      <c r="C24">
        <v>29</v>
      </c>
      <c r="D24" t="s">
        <v>6</v>
      </c>
      <c r="E24">
        <v>6845000</v>
      </c>
      <c r="G24" t="str">
        <f t="shared" si="0"/>
        <v>Low Income</v>
      </c>
    </row>
    <row r="25" spans="1:7" x14ac:dyDescent="0.3">
      <c r="A25">
        <v>24</v>
      </c>
      <c r="B25">
        <v>1</v>
      </c>
      <c r="C25">
        <v>21</v>
      </c>
      <c r="D25" t="s">
        <v>5</v>
      </c>
      <c r="E25">
        <v>6000</v>
      </c>
      <c r="G25" t="str">
        <f t="shared" si="0"/>
        <v>High Income</v>
      </c>
    </row>
    <row r="26" spans="1:7" x14ac:dyDescent="0.3">
      <c r="A26">
        <v>25</v>
      </c>
      <c r="B26">
        <v>4</v>
      </c>
      <c r="C26">
        <v>23</v>
      </c>
      <c r="D26" t="s">
        <v>5</v>
      </c>
      <c r="E26">
        <v>8900</v>
      </c>
      <c r="G26" t="str">
        <f t="shared" si="0"/>
        <v>High Income</v>
      </c>
    </row>
    <row r="27" spans="1:7" x14ac:dyDescent="0.3">
      <c r="A27">
        <v>26</v>
      </c>
      <c r="B27">
        <v>3</v>
      </c>
      <c r="C27">
        <v>22</v>
      </c>
      <c r="D27" t="s">
        <v>5</v>
      </c>
      <c r="E27">
        <v>20000</v>
      </c>
      <c r="G27" t="str">
        <f t="shared" si="0"/>
        <v>High Income</v>
      </c>
    </row>
    <row r="28" spans="1:7" x14ac:dyDescent="0.3">
      <c r="A28">
        <v>27</v>
      </c>
      <c r="B28">
        <v>1</v>
      </c>
      <c r="C28">
        <v>18</v>
      </c>
      <c r="D28" t="s">
        <v>6</v>
      </c>
      <c r="E28">
        <v>3000</v>
      </c>
      <c r="G28" t="str">
        <f t="shared" si="0"/>
        <v>High Income</v>
      </c>
    </row>
    <row r="29" spans="1:7" x14ac:dyDescent="0.3">
      <c r="A29">
        <v>28</v>
      </c>
      <c r="B29">
        <v>27</v>
      </c>
      <c r="C29">
        <v>62</v>
      </c>
      <c r="D29" t="s">
        <v>5</v>
      </c>
      <c r="E29">
        <v>10000000</v>
      </c>
      <c r="G29" t="str">
        <f t="shared" si="0"/>
        <v>Low Income</v>
      </c>
    </row>
    <row r="30" spans="1:7" x14ac:dyDescent="0.3">
      <c r="A30">
        <v>29</v>
      </c>
      <c r="B30">
        <v>19</v>
      </c>
      <c r="C30">
        <v>54</v>
      </c>
      <c r="D30" t="s">
        <v>5</v>
      </c>
      <c r="E30">
        <v>5000000</v>
      </c>
      <c r="G30" t="str">
        <f t="shared" si="0"/>
        <v>Low Income</v>
      </c>
    </row>
    <row r="31" spans="1:7" x14ac:dyDescent="0.3">
      <c r="A31">
        <v>30</v>
      </c>
      <c r="B31">
        <v>2</v>
      </c>
      <c r="C31">
        <v>21</v>
      </c>
      <c r="D31" t="s">
        <v>5</v>
      </c>
      <c r="E31">
        <v>6100</v>
      </c>
      <c r="G31" t="str">
        <f t="shared" si="0"/>
        <v>High Income</v>
      </c>
    </row>
    <row r="32" spans="1:7" x14ac:dyDescent="0.3">
      <c r="A32">
        <v>31</v>
      </c>
      <c r="B32">
        <v>10</v>
      </c>
      <c r="C32">
        <v>34</v>
      </c>
      <c r="D32" t="s">
        <v>6</v>
      </c>
      <c r="E32">
        <v>80000</v>
      </c>
      <c r="G32" t="str">
        <f t="shared" si="0"/>
        <v>Low Income</v>
      </c>
    </row>
    <row r="33" spans="1:7" x14ac:dyDescent="0.3">
      <c r="A33">
        <v>32</v>
      </c>
      <c r="B33">
        <v>15</v>
      </c>
      <c r="C33">
        <v>54</v>
      </c>
      <c r="D33" t="s">
        <v>6</v>
      </c>
      <c r="E33">
        <v>900000</v>
      </c>
      <c r="G33" t="str">
        <f t="shared" si="0"/>
        <v>Low Income</v>
      </c>
    </row>
    <row r="34" spans="1:7" x14ac:dyDescent="0.3">
      <c r="A34">
        <v>33</v>
      </c>
      <c r="B34">
        <v>20</v>
      </c>
      <c r="C34">
        <v>55</v>
      </c>
      <c r="D34" t="s">
        <v>5</v>
      </c>
      <c r="E34">
        <v>1540000</v>
      </c>
      <c r="G34" t="str">
        <f t="shared" si="0"/>
        <v>Low Income</v>
      </c>
    </row>
    <row r="35" spans="1:7" x14ac:dyDescent="0.3">
      <c r="A35">
        <v>34</v>
      </c>
      <c r="B35">
        <v>19</v>
      </c>
      <c r="C35">
        <v>53</v>
      </c>
      <c r="D35" t="s">
        <v>5</v>
      </c>
      <c r="E35">
        <v>9300000</v>
      </c>
      <c r="G35" t="str">
        <f t="shared" si="0"/>
        <v>Low Income</v>
      </c>
    </row>
    <row r="36" spans="1:7" x14ac:dyDescent="0.3">
      <c r="A36">
        <v>35</v>
      </c>
      <c r="B36">
        <v>16</v>
      </c>
      <c r="C36">
        <v>49</v>
      </c>
      <c r="D36" t="s">
        <v>6</v>
      </c>
      <c r="E36">
        <v>7600000</v>
      </c>
      <c r="G36" t="str">
        <f t="shared" si="0"/>
        <v>Low Income</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1FEE-18EC-494F-A69C-4A3C126B2C7E}">
  <dimension ref="A1:B17"/>
  <sheetViews>
    <sheetView workbookViewId="0">
      <selection activeCell="D8" sqref="D8"/>
    </sheetView>
  </sheetViews>
  <sheetFormatPr defaultRowHeight="14.4" x14ac:dyDescent="0.3"/>
  <cols>
    <col min="4" max="4" width="17" customWidth="1"/>
  </cols>
  <sheetData>
    <row r="1" spans="1:2" x14ac:dyDescent="0.3">
      <c r="B1" s="2" t="s">
        <v>8</v>
      </c>
    </row>
    <row r="4" spans="1:2" x14ac:dyDescent="0.3">
      <c r="A4" t="s">
        <v>6</v>
      </c>
      <c r="B4">
        <v>17</v>
      </c>
    </row>
    <row r="5" spans="1:2" x14ac:dyDescent="0.3">
      <c r="A5" t="s">
        <v>5</v>
      </c>
      <c r="B5">
        <v>18</v>
      </c>
    </row>
    <row r="7" spans="1:2" x14ac:dyDescent="0.3">
      <c r="A7" t="s">
        <v>11</v>
      </c>
      <c r="B7">
        <v>35</v>
      </c>
    </row>
    <row r="11" spans="1:2" x14ac:dyDescent="0.3">
      <c r="B11" s="2" t="s">
        <v>9</v>
      </c>
    </row>
    <row r="14" spans="1:2" x14ac:dyDescent="0.3">
      <c r="A14" t="s">
        <v>6</v>
      </c>
      <c r="B14">
        <v>35081650</v>
      </c>
    </row>
    <row r="15" spans="1:2" x14ac:dyDescent="0.3">
      <c r="A15" t="s">
        <v>5</v>
      </c>
      <c r="B15">
        <v>36988500</v>
      </c>
    </row>
    <row r="17" spans="1:2" x14ac:dyDescent="0.3">
      <c r="A17" t="s">
        <v>11</v>
      </c>
      <c r="B17">
        <v>72070150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B656-731C-4F5E-9365-E0BDABE4DCA8}">
  <dimension ref="A3:C7"/>
  <sheetViews>
    <sheetView workbookViewId="0">
      <selection activeCell="K4" sqref="K4"/>
    </sheetView>
  </sheetViews>
  <sheetFormatPr defaultRowHeight="14.4" x14ac:dyDescent="0.3"/>
  <cols>
    <col min="1" max="1" width="12.5546875" bestFit="1" customWidth="1"/>
    <col min="2" max="2" width="13.109375" bestFit="1" customWidth="1"/>
    <col min="3" max="3" width="22.6640625" bestFit="1" customWidth="1"/>
  </cols>
  <sheetData>
    <row r="3" spans="1:3" x14ac:dyDescent="0.3">
      <c r="A3" s="4" t="s">
        <v>21</v>
      </c>
      <c r="B3" t="s">
        <v>19</v>
      </c>
      <c r="C3" t="s">
        <v>20</v>
      </c>
    </row>
    <row r="4" spans="1:3" x14ac:dyDescent="0.3">
      <c r="A4" s="5">
        <v>17</v>
      </c>
      <c r="B4" s="3">
        <v>35081650</v>
      </c>
      <c r="C4" s="3">
        <v>2063626.4705882352</v>
      </c>
    </row>
    <row r="5" spans="1:3" x14ac:dyDescent="0.3">
      <c r="A5" s="5">
        <v>18</v>
      </c>
      <c r="B5" s="3">
        <v>36988500</v>
      </c>
      <c r="C5" s="3">
        <v>2054916.6666666667</v>
      </c>
    </row>
    <row r="6" spans="1:3" x14ac:dyDescent="0.3">
      <c r="A6" s="5">
        <v>35</v>
      </c>
      <c r="B6" s="3">
        <v>72070150</v>
      </c>
      <c r="C6" s="3">
        <v>2059147.142857143</v>
      </c>
    </row>
    <row r="7" spans="1:3" x14ac:dyDescent="0.3">
      <c r="A7" s="5" t="s">
        <v>22</v>
      </c>
      <c r="B7" s="3">
        <v>144140300</v>
      </c>
      <c r="C7" s="3">
        <v>6177690.2801120449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B2133-C6FC-44D6-BBE8-644697C6295F}">
  <dimension ref="A1:C6"/>
  <sheetViews>
    <sheetView tabSelected="1" workbookViewId="0">
      <selection activeCell="Q13" sqref="Q13"/>
    </sheetView>
  </sheetViews>
  <sheetFormatPr defaultRowHeight="14.4" x14ac:dyDescent="0.3"/>
  <cols>
    <col min="1" max="1" width="13.109375" bestFit="1" customWidth="1"/>
    <col min="2" max="2" width="15.5546875" bestFit="1" customWidth="1"/>
    <col min="3" max="3" width="10.77734375" bestFit="1" customWidth="1"/>
    <col min="4" max="4" width="12" bestFit="1" customWidth="1"/>
    <col min="5" max="5" width="10.77734375" bestFit="1" customWidth="1"/>
  </cols>
  <sheetData>
    <row r="1" spans="1:3" x14ac:dyDescent="0.3">
      <c r="A1" s="4" t="s">
        <v>3</v>
      </c>
      <c r="B1" t="s">
        <v>24</v>
      </c>
    </row>
    <row r="3" spans="1:3" x14ac:dyDescent="0.3">
      <c r="A3" s="4" t="s">
        <v>19</v>
      </c>
      <c r="B3" s="4" t="s">
        <v>23</v>
      </c>
    </row>
    <row r="4" spans="1:3" x14ac:dyDescent="0.3">
      <c r="A4" s="4" t="s">
        <v>21</v>
      </c>
      <c r="B4">
        <v>2059147.142857143</v>
      </c>
      <c r="C4" t="s">
        <v>22</v>
      </c>
    </row>
    <row r="5" spans="1:3" x14ac:dyDescent="0.3">
      <c r="A5" s="5">
        <v>35</v>
      </c>
      <c r="B5" s="3">
        <v>72070150</v>
      </c>
      <c r="C5" s="3">
        <v>72070150</v>
      </c>
    </row>
    <row r="6" spans="1:3" x14ac:dyDescent="0.3">
      <c r="A6" s="5" t="s">
        <v>22</v>
      </c>
      <c r="B6" s="3">
        <v>72070150</v>
      </c>
      <c r="C6" s="3">
        <v>72070150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Charts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Venkatesh</dc:creator>
  <cp:lastModifiedBy>Hari Venkatesh</cp:lastModifiedBy>
  <dcterms:created xsi:type="dcterms:W3CDTF">2025-12-06T22:47:52Z</dcterms:created>
  <dcterms:modified xsi:type="dcterms:W3CDTF">2025-12-07T00:36:29Z</dcterms:modified>
</cp:coreProperties>
</file>